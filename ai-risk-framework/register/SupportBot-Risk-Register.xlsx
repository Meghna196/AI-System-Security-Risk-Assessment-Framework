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definedNames>
    <definedName function="false" hidden="true" localSheetId="0" name="_xlnm._FilterDatabase" vbProcedure="false">'Risk Register'!$A$1:$L$17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<sst xmlns="http://schemas.openxmlformats.org/spreadsheetml/2006/main" count="148" uniqueCount="92">
  <si>
    <t xml:space="preserve">Risk ID</t>
  </si>
  <si>
    <t xml:space="preserve">Threat Description</t>
  </si>
  <si>
    <t xml:space="preserve">Affected Component</t>
  </si>
  <si>
    <t xml:space="preserve">OWASP LLM Ref</t>
  </si>
  <si>
    <t xml:space="preserve">NIST AI RMF Category</t>
  </si>
  <si>
    <t xml:space="preserve">Likelihood</t>
  </si>
  <si>
    <t xml:space="preserve">Impact</t>
  </si>
  <si>
    <t xml:space="preserve">Risk Score</t>
  </si>
  <si>
    <t xml:space="preserve">Risk Level</t>
  </si>
  <si>
    <t xml:space="preserve">Recommended Control</t>
  </si>
  <si>
    <t xml:space="preserve">Control Owner</t>
  </si>
  <si>
    <t xml:space="preserve">Status</t>
  </si>
  <si>
    <t xml:space="preserve">AI-001</t>
  </si>
  <si>
    <t xml:space="preserve">Direct prompt injection bypasses system prompt guardrails</t>
  </si>
  <si>
    <t xml:space="preserve">LLM API</t>
  </si>
  <si>
    <t xml:space="preserve">LLM01</t>
  </si>
  <si>
    <t xml:space="preserve">MANAGE</t>
  </si>
  <si>
    <t xml:space="preserve">Input validation layer, output filtering, adversarial/red-team testing of prompts</t>
  </si>
  <si>
    <t xml:space="preserve">Engineering</t>
  </si>
  <si>
    <t xml:space="preserve">Open</t>
  </si>
  <si>
    <t xml:space="preserve">AI-002</t>
  </si>
  <si>
    <t xml:space="preserve">Indirect prompt injection via retrieved/ingested documents causes the model to take unintended actions</t>
  </si>
  <si>
    <t xml:space="preserve">LLM01, LLM08</t>
  </si>
  <si>
    <t xml:space="preserve">Treat retrieved content as untrusted data (never as instructions); strip/neutralise embedded directives before adding to context</t>
  </si>
  <si>
    <t xml:space="preserve">AI-003</t>
  </si>
  <si>
    <t xml:space="preserve">Model leaks system prompt or memorised training data fragments in responses</t>
  </si>
  <si>
    <t xml:space="preserve">LLM06</t>
  </si>
  <si>
    <t xml:space="preserve">MEASURE</t>
  </si>
  <si>
    <t xml:space="preserve">Output monitoring with canary tokens; response filtering for system-prompt leakage</t>
  </si>
  <si>
    <t xml:space="preserve">AI-004</t>
  </si>
  <si>
    <t xml:space="preserve">Token flooding / adversarial long inputs exhaust API quota and cost ceiling</t>
  </si>
  <si>
    <t xml:space="preserve">LLM04</t>
  </si>
  <si>
    <t xml:space="preserve">Per-session and per-account token/cost quotas; anomaly-based throttling</t>
  </si>
  <si>
    <t xml:space="preserve">AI-005</t>
  </si>
  <si>
    <t xml:space="preserve">PII over-retrieval exposes other customers' data in the active context window</t>
  </si>
  <si>
    <t xml:space="preserve">RAG Pipeline</t>
  </si>
  <si>
    <t xml:space="preserve">Implement retrieval scoping by authenticated user/session ID; enforce row-level security in Postgres</t>
  </si>
  <si>
    <t xml:space="preserve">Data Engineering</t>
  </si>
  <si>
    <t xml:space="preserve">AI-006</t>
  </si>
  <si>
    <t xml:space="preserve">Crafted queries retrieve data for accounts other than the authenticated user (broken retrieval scoping)</t>
  </si>
  <si>
    <t xml:space="preserve">LLM02</t>
  </si>
  <si>
    <t xml:space="preserve">Enforce retrieval scoping and validate query parameters against session identity server-side</t>
  </si>
  <si>
    <t xml:space="preserve">AI-007</t>
  </si>
  <si>
    <t xml:space="preserve">Attacker-controlled content ingested into the knowledge base poisons retrieval results</t>
  </si>
  <si>
    <t xml:space="preserve">LLM03</t>
  </si>
  <si>
    <t xml:space="preserve">Content integrity checks and provenance validation on the knowledge-base ingestion pipeline</t>
  </si>
  <si>
    <t xml:space="preserve">AI-008</t>
  </si>
  <si>
    <t xml:space="preserve">Vector store / embedding misconfiguration allows raw document retrieval outside the RAG flow</t>
  </si>
  <si>
    <t xml:space="preserve">Harden vector store access controls; restrict direct query access to the retrieval service only</t>
  </si>
  <si>
    <t xml:space="preserve">AI-009</t>
  </si>
  <si>
    <t xml:space="preserve">JWT forgery or token replay allows session impersonation</t>
  </si>
  <si>
    <t xml:space="preserve">API Gateway</t>
  </si>
  <si>
    <t xml:space="preserve">OWASP API2:2023 (no direct LLM Top 10 mapping)</t>
  </si>
  <si>
    <t xml:space="preserve">Short-lived JWTs, signing key rotation, replay detection (nonce/jti tracking)</t>
  </si>
  <si>
    <t xml:space="preserve">Security Engineering</t>
  </si>
  <si>
    <t xml:space="preserve">AI-010</t>
  </si>
  <si>
    <t xml:space="preserve">No per-user rate limiting allows a single account to exhaust shared backend capacity</t>
  </si>
  <si>
    <t xml:space="preserve">Per-user and per-IP rate limiting at the API Gateway layer</t>
  </si>
  <si>
    <t xml:space="preserve">AI-011</t>
  </si>
  <si>
    <t xml:space="preserve">Insufficient authorization checks allow a customer-tier token to reach admin-only endpoints</t>
  </si>
  <si>
    <t xml:space="preserve">OWASP API5:2023 (no direct LLM Top 10 mapping)</t>
  </si>
  <si>
    <t xml:space="preserve">Enforce function-level authorization checks server-side for all admin endpoints</t>
  </si>
  <si>
    <t xml:space="preserve">AI-012</t>
  </si>
  <si>
    <t xml:space="preserve">Logs store full prompts/responses containing PII in plaintext, readable by broad internal staff</t>
  </si>
  <si>
    <t xml:space="preserve">Audit Logs</t>
  </si>
  <si>
    <t xml:space="preserve">GOVERN</t>
  </si>
  <si>
    <t xml:space="preserve">Redact/mask PII in logs before persistence; restrict log access via RBAC</t>
  </si>
  <si>
    <t xml:space="preserve">AI-013</t>
  </si>
  <si>
    <t xml:space="preserve">Logs are not tamper-evident so actions cannot be reliably attributed after an incident</t>
  </si>
  <si>
    <t xml:space="preserve">OWASP A09:2021 (no direct LLM Top 10 mapping)</t>
  </si>
  <si>
    <t xml:space="preserve">Enable write-once/immutable log storage (e.g. S3 Object Lock) with cryptographic integrity checks</t>
  </si>
  <si>
    <t xml:space="preserve">AI-014</t>
  </si>
  <si>
    <t xml:space="preserve">Log pipeline lacks immutable storage, allowing deletion or alteration of evidence post-incident</t>
  </si>
  <si>
    <t xml:space="preserve">Immutable/write-once log storage (same control as AI-013)</t>
  </si>
  <si>
    <t xml:space="preserve">AI-015</t>
  </si>
  <si>
    <t xml:space="preserve">LLM-recommended actions (ticket escalation, refund initiation) are auto-executed without human confirmation (excessive agency)</t>
  </si>
  <si>
    <t xml:space="preserve">Admin Panel</t>
  </si>
  <si>
    <t xml:space="preserve">LLM08</t>
  </si>
  <si>
    <t xml:space="preserve">Require human-in-the-loop confirmation for any account-impacting action recommended by the LLM</t>
  </si>
  <si>
    <t xml:space="preserve">Product / Engineering</t>
  </si>
  <si>
    <t xml:space="preserve">AI-016</t>
  </si>
  <si>
    <t xml:space="preserve">Admin panel authentication lacks MFA, increasing account takeover risk for high-privilege users</t>
  </si>
  <si>
    <t xml:space="preserve">OWASP A07:2021 (no direct LLM Top 10 mapping)</t>
  </si>
  <si>
    <t xml:space="preserve">Enforce MFA for all admin panel accounts</t>
  </si>
  <si>
    <t xml:space="preserve">IT Security</t>
  </si>
  <si>
    <t xml:space="preserve">SupportBot v2 Risk Register — Summary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</si>
  <si>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</si>
  <si>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</si>
  <si>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</si>
  <si>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</si>
  <si>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</si>
  <si>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Total Risks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</si>
</sst>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BE4E2"/>
          <bgColor rgb="FF000000"/>
        </patternFill>
      </fill>
    </dxf>
    <dxf>
      <fill>
        <patternFill patternType="solid">
          <fgColor rgb="FFFDEE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BE4E2"/>
        </patternFill>
      </fill>
    </dxf>
    <dxf>
      <fill>
        <patternFill>
          <bgColor rgb="FFFDEE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CE4D6"/>
      <rgbColor rgb="FF660066"/>
      <rgbColor rgb="FFFF8080"/>
      <rgbColor rgb="FF0066CC"/>
      <rgbColor rgb="FFFBE4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EE4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8" min="7" style="1" width="8"/>
    <col collapsed="false" customWidth="true" hidden="false" outlineLevel="0" max="9" min="9" style="1" width="10"/>
    <col collapsed="false" customWidth="true" hidden="false" outlineLevel="0" max="10" min="10" style="1" width="42"/>
    <col collapsed="false" customWidth="true" hidden="false" outlineLevel="0" max="11" min="11" style="1" width="16"/>
    <col collapsed="false" customWidth="true" hidden="false" outlineLevel="0" max="12" min="12" style="1" width="9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45.7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n">
        <v>4</v>
      </c>
      <c r="G2" s="4" t="n">
        <v>5</v>
      </c>
      <c r="H2" s="4" t="n">
        <f aca="false">F2*G2</f>
        <v>20</v>
      </c>
      <c r="I2" s="4" t="str">
        <f aca="false">IF(H2&gt;=20,"Critical",IF(H2&gt;=15,"High",IF(H2&gt;=9,"Medium","Low")))</f>
        <v>Critical</v>
      </c>
      <c r="J2" s="3" t="s">
        <v>17</v>
      </c>
      <c r="K2" s="3" t="s">
        <v>18</v>
      </c>
      <c r="L2" s="3" t="s">
        <v>19</v>
      </c>
    </row>
    <row r="3" customFormat="false" ht="45.75" hidden="false" customHeight="true" outlineLevel="0" collapsed="false">
      <c r="A3" s="3" t="s">
        <v>20</v>
      </c>
      <c r="B3" s="3" t="s">
        <v>21</v>
      </c>
      <c r="C3" s="3" t="s">
        <v>14</v>
      </c>
      <c r="D3" s="3" t="s">
        <v>22</v>
      </c>
      <c r="E3" s="3" t="s">
        <v>16</v>
      </c>
      <c r="F3" s="4" t="n">
        <v>3</v>
      </c>
      <c r="G3" s="4" t="n">
        <v>5</v>
      </c>
      <c r="H3" s="4" t="n">
        <f aca="false">F3*G3</f>
        <v>15</v>
      </c>
      <c r="I3" s="4" t="str">
        <f aca="false">IF(H3&gt;=20,"Critical",IF(H3&gt;=15,"High",IF(H3&gt;=9,"Medium","Low")))</f>
        <v>High</v>
      </c>
      <c r="J3" s="3" t="s">
        <v>23</v>
      </c>
      <c r="K3" s="3" t="s">
        <v>18</v>
      </c>
      <c r="L3" s="3" t="s">
        <v>19</v>
      </c>
    </row>
    <row r="4" customFormat="false" ht="45.75" hidden="false" customHeight="true" outlineLevel="0" collapsed="false">
      <c r="A4" s="3" t="s">
        <v>24</v>
      </c>
      <c r="B4" s="3" t="s">
        <v>25</v>
      </c>
      <c r="C4" s="3" t="s">
        <v>14</v>
      </c>
      <c r="D4" s="3" t="s">
        <v>26</v>
      </c>
      <c r="E4" s="3" t="s">
        <v>27</v>
      </c>
      <c r="F4" s="4" t="n">
        <v>3</v>
      </c>
      <c r="G4" s="4" t="n">
        <v>3</v>
      </c>
      <c r="H4" s="4" t="n">
        <f aca="false">F4*G4</f>
        <v>9</v>
      </c>
      <c r="I4" s="4" t="str">
        <f aca="false">IF(H4&gt;=20,"Critical",IF(H4&gt;=15,"High",IF(H4&gt;=9,"Medium","Low")))</f>
        <v>Medium</v>
      </c>
      <c r="J4" s="3" t="s">
        <v>28</v>
      </c>
      <c r="K4" s="3" t="s">
        <v>18</v>
      </c>
      <c r="L4" s="3" t="s">
        <v>19</v>
      </c>
    </row>
    <row r="5" customFormat="false" ht="45.75" hidden="false" customHeight="true" outlineLevel="0" collapsed="false">
      <c r="A5" s="3" t="s">
        <v>29</v>
      </c>
      <c r="B5" s="3" t="s">
        <v>30</v>
      </c>
      <c r="C5" s="3" t="s">
        <v>14</v>
      </c>
      <c r="D5" s="3" t="s">
        <v>31</v>
      </c>
      <c r="E5" s="3" t="s">
        <v>16</v>
      </c>
      <c r="F5" s="4" t="n">
        <v>3</v>
      </c>
      <c r="G5" s="4" t="n">
        <v>3</v>
      </c>
      <c r="H5" s="4" t="n">
        <f aca="false">F5*G5</f>
        <v>9</v>
      </c>
      <c r="I5" s="4" t="str">
        <f aca="false">IF(H5&gt;=20,"Critical",IF(H5&gt;=15,"High",IF(H5&gt;=9,"Medium","Low")))</f>
        <v>Medium</v>
      </c>
      <c r="J5" s="3" t="s">
        <v>32</v>
      </c>
      <c r="K5" s="3" t="s">
        <v>18</v>
      </c>
      <c r="L5" s="3" t="s">
        <v>19</v>
      </c>
    </row>
    <row r="6" customFormat="false" ht="45.75" hidden="false" customHeight="true" outlineLevel="0" collapsed="false">
      <c r="A6" s="3" t="s">
        <v>33</v>
      </c>
      <c r="B6" s="3" t="s">
        <v>34</v>
      </c>
      <c r="C6" s="3" t="s">
        <v>35</v>
      </c>
      <c r="D6" s="3" t="s">
        <v>26</v>
      </c>
      <c r="E6" s="3" t="s">
        <v>16</v>
      </c>
      <c r="F6" s="4" t="n">
        <v>4</v>
      </c>
      <c r="G6" s="4" t="n">
        <v>5</v>
      </c>
      <c r="H6" s="4" t="n">
        <f aca="false">F6*G6</f>
        <v>20</v>
      </c>
      <c r="I6" s="4" t="str">
        <f aca="false">IF(H6&gt;=20,"Critical",IF(H6&gt;=15,"High",IF(H6&gt;=9,"Medium","Low")))</f>
        <v>Critical</v>
      </c>
      <c r="J6" s="3" t="s">
        <v>36</v>
      </c>
      <c r="K6" s="3" t="s">
        <v>37</v>
      </c>
      <c r="L6" s="3" t="s">
        <v>19</v>
      </c>
    </row>
    <row r="7" customFormat="false" ht="45.75" hidden="false" customHeight="true" outlineLevel="0" collapsed="false">
      <c r="A7" s="3" t="s">
        <v>38</v>
      </c>
      <c r="B7" s="3" t="s">
        <v>39</v>
      </c>
      <c r="C7" s="3" t="s">
        <v>35</v>
      </c>
      <c r="D7" s="3" t="s">
        <v>40</v>
      </c>
      <c r="E7" s="3" t="s">
        <v>16</v>
      </c>
      <c r="F7" s="4" t="n">
        <v>4</v>
      </c>
      <c r="G7" s="4" t="n">
        <v>5</v>
      </c>
      <c r="H7" s="4" t="n">
        <f aca="false">F7*G7</f>
        <v>20</v>
      </c>
      <c r="I7" s="4" t="str">
        <f aca="false">IF(H7&gt;=20,"Critical",IF(H7&gt;=15,"High",IF(H7&gt;=9,"Medium","Low")))</f>
        <v>Critical</v>
      </c>
      <c r="J7" s="3" t="s">
        <v>41</v>
      </c>
      <c r="K7" s="3" t="s">
        <v>37</v>
      </c>
      <c r="L7" s="3" t="s">
        <v>19</v>
      </c>
    </row>
    <row r="8" customFormat="false" ht="45.75" hidden="false" customHeight="true" outlineLevel="0" collapsed="false">
      <c r="A8" s="3" t="s">
        <v>42</v>
      </c>
      <c r="B8" s="3" t="s">
        <v>43</v>
      </c>
      <c r="C8" s="3" t="s">
        <v>35</v>
      </c>
      <c r="D8" s="3" t="s">
        <v>44</v>
      </c>
      <c r="E8" s="3" t="s">
        <v>27</v>
      </c>
      <c r="F8" s="4" t="n">
        <v>2</v>
      </c>
      <c r="G8" s="4" t="n">
        <v>4</v>
      </c>
      <c r="H8" s="4" t="n">
        <f aca="false">F8*G8</f>
        <v>8</v>
      </c>
      <c r="I8" s="4" t="str">
        <f aca="false">IF(H8&gt;=20,"Critical",IF(H8&gt;=15,"High",IF(H8&gt;=9,"Medium","Low")))</f>
        <v>Low</v>
      </c>
      <c r="J8" s="3" t="s">
        <v>45</v>
      </c>
      <c r="K8" s="3" t="s">
        <v>37</v>
      </c>
      <c r="L8" s="3" t="s">
        <v>19</v>
      </c>
    </row>
    <row r="9" customFormat="false" ht="45.75" hidden="false" customHeight="true" outlineLevel="0" collapsed="false">
      <c r="A9" s="3" t="s">
        <v>46</v>
      </c>
      <c r="B9" s="3" t="s">
        <v>47</v>
      </c>
      <c r="C9" s="3" t="s">
        <v>35</v>
      </c>
      <c r="D9" s="3" t="s">
        <v>26</v>
      </c>
      <c r="E9" s="3" t="s">
        <v>16</v>
      </c>
      <c r="F9" s="4" t="n">
        <v>2</v>
      </c>
      <c r="G9" s="4" t="n">
        <v>4</v>
      </c>
      <c r="H9" s="4" t="n">
        <f aca="false">F9*G9</f>
        <v>8</v>
      </c>
      <c r="I9" s="4" t="str">
        <f aca="false">IF(H9&gt;=20,"Critical",IF(H9&gt;=15,"High",IF(H9&gt;=9,"Medium","Low")))</f>
        <v>Low</v>
      </c>
      <c r="J9" s="3" t="s">
        <v>48</v>
      </c>
      <c r="K9" s="3" t="s">
        <v>37</v>
      </c>
      <c r="L9" s="3" t="s">
        <v>19</v>
      </c>
    </row>
    <row r="10" customFormat="false" ht="45.75" hidden="false" customHeight="true" outlineLevel="0" collapsed="false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16</v>
      </c>
      <c r="F10" s="4" t="n">
        <v>3</v>
      </c>
      <c r="G10" s="4" t="n">
        <v>5</v>
      </c>
      <c r="H10" s="4" t="n">
        <f aca="false">F10*G10</f>
        <v>15</v>
      </c>
      <c r="I10" s="4" t="str">
        <f aca="false">IF(H10&gt;=20,"Critical",IF(H10&gt;=15,"High",IF(H10&gt;=9,"Medium","Low")))</f>
        <v>High</v>
      </c>
      <c r="J10" s="3" t="s">
        <v>53</v>
      </c>
      <c r="K10" s="3" t="s">
        <v>54</v>
      </c>
      <c r="L10" s="3" t="s">
        <v>19</v>
      </c>
    </row>
    <row r="11" customFormat="false" ht="45.75" hidden="false" customHeight="true" outlineLevel="0" collapsed="false">
      <c r="A11" s="3" t="s">
        <v>55</v>
      </c>
      <c r="B11" s="3" t="s">
        <v>56</v>
      </c>
      <c r="C11" s="3" t="s">
        <v>51</v>
      </c>
      <c r="D11" s="3" t="s">
        <v>31</v>
      </c>
      <c r="E11" s="3" t="s">
        <v>16</v>
      </c>
      <c r="F11" s="4" t="n">
        <v>3</v>
      </c>
      <c r="G11" s="4" t="n">
        <v>3</v>
      </c>
      <c r="H11" s="4" t="n">
        <f aca="false">F11*G11</f>
        <v>9</v>
      </c>
      <c r="I11" s="4" t="str">
        <f aca="false">IF(H11&gt;=20,"Critical",IF(H11&gt;=15,"High",IF(H11&gt;=9,"Medium","Low")))</f>
        <v>Medium</v>
      </c>
      <c r="J11" s="3" t="s">
        <v>57</v>
      </c>
      <c r="K11" s="3" t="s">
        <v>18</v>
      </c>
      <c r="L11" s="3" t="s">
        <v>19</v>
      </c>
    </row>
    <row r="12" customFormat="false" ht="45.75" hidden="false" customHeight="true" outlineLevel="0" collapsed="false">
      <c r="A12" s="3" t="s">
        <v>58</v>
      </c>
      <c r="B12" s="3" t="s">
        <v>59</v>
      </c>
      <c r="C12" s="3" t="s">
        <v>51</v>
      </c>
      <c r="D12" s="3" t="s">
        <v>60</v>
      </c>
      <c r="E12" s="3" t="s">
        <v>16</v>
      </c>
      <c r="F12" s="4" t="n">
        <v>4</v>
      </c>
      <c r="G12" s="4" t="n">
        <v>4</v>
      </c>
      <c r="H12" s="4" t="n">
        <f aca="false">F12*G12</f>
        <v>16</v>
      </c>
      <c r="I12" s="4" t="str">
        <f aca="false">IF(H12&gt;=20,"Critical",IF(H12&gt;=15,"High",IF(H12&gt;=9,"Medium","Low")))</f>
        <v>High</v>
      </c>
      <c r="J12" s="3" t="s">
        <v>61</v>
      </c>
      <c r="K12" s="3" t="s">
        <v>18</v>
      </c>
      <c r="L12" s="3" t="s">
        <v>19</v>
      </c>
    </row>
    <row r="13" customFormat="false" ht="45.75" hidden="false" customHeight="true" outlineLevel="0" collapsed="false">
      <c r="A13" s="3" t="s">
        <v>62</v>
      </c>
      <c r="B13" s="3" t="s">
        <v>63</v>
      </c>
      <c r="C13" s="3" t="s">
        <v>64</v>
      </c>
      <c r="D13" s="3" t="s">
        <v>26</v>
      </c>
      <c r="E13" s="3" t="s">
        <v>65</v>
      </c>
      <c r="F13" s="4" t="n">
        <v>4</v>
      </c>
      <c r="G13" s="4" t="n">
        <v>4</v>
      </c>
      <c r="H13" s="4" t="n">
        <f aca="false">F13*G13</f>
        <v>16</v>
      </c>
      <c r="I13" s="4" t="str">
        <f aca="false">IF(H13&gt;=20,"Critical",IF(H13&gt;=15,"High",IF(H13&gt;=9,"Medium","Low")))</f>
        <v>High</v>
      </c>
      <c r="J13" s="3" t="s">
        <v>66</v>
      </c>
      <c r="K13" s="3" t="s">
        <v>54</v>
      </c>
      <c r="L13" s="3" t="s">
        <v>19</v>
      </c>
    </row>
    <row r="14" customFormat="false" ht="45.75" hidden="false" customHeight="true" outlineLevel="0" collapsed="false">
      <c r="A14" s="3" t="s">
        <v>67</v>
      </c>
      <c r="B14" s="3" t="s">
        <v>68</v>
      </c>
      <c r="C14" s="3" t="s">
        <v>64</v>
      </c>
      <c r="D14" s="3" t="s">
        <v>69</v>
      </c>
      <c r="E14" s="3" t="s">
        <v>65</v>
      </c>
      <c r="F14" s="4" t="n">
        <v>2</v>
      </c>
      <c r="G14" s="4" t="n">
        <v>3</v>
      </c>
      <c r="H14" s="4" t="n">
        <f aca="false">F14*G14</f>
        <v>6</v>
      </c>
      <c r="I14" s="4" t="str">
        <f aca="false">IF(H14&gt;=20,"Critical",IF(H14&gt;=15,"High",IF(H14&gt;=9,"Medium","Low")))</f>
        <v>Low</v>
      </c>
      <c r="J14" s="3" t="s">
        <v>70</v>
      </c>
      <c r="K14" s="3" t="s">
        <v>54</v>
      </c>
      <c r="L14" s="3" t="s">
        <v>19</v>
      </c>
    </row>
    <row r="15" customFormat="false" ht="45.75" hidden="false" customHeight="true" outlineLevel="0" collapsed="false">
      <c r="A15" s="3" t="s">
        <v>71</v>
      </c>
      <c r="B15" s="3" t="s">
        <v>72</v>
      </c>
      <c r="C15" s="3" t="s">
        <v>64</v>
      </c>
      <c r="D15" s="3" t="s">
        <v>69</v>
      </c>
      <c r="E15" s="3" t="s">
        <v>16</v>
      </c>
      <c r="F15" s="4" t="n">
        <v>2</v>
      </c>
      <c r="G15" s="4" t="n">
        <v>3</v>
      </c>
      <c r="H15" s="4" t="n">
        <f aca="false">F15*G15</f>
        <v>6</v>
      </c>
      <c r="I15" s="4" t="str">
        <f aca="false">IF(H15&gt;=20,"Critical",IF(H15&gt;=15,"High",IF(H15&gt;=9,"Medium","Low")))</f>
        <v>Low</v>
      </c>
      <c r="J15" s="3" t="s">
        <v>73</v>
      </c>
      <c r="K15" s="3" t="s">
        <v>54</v>
      </c>
      <c r="L15" s="3" t="s">
        <v>19</v>
      </c>
    </row>
    <row r="16" customFormat="false" ht="45.75" hidden="false" customHeight="true" outlineLevel="0" collapsed="false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65</v>
      </c>
      <c r="F16" s="4" t="n">
        <v>4</v>
      </c>
      <c r="G16" s="4" t="n">
        <v>5</v>
      </c>
      <c r="H16" s="4" t="n">
        <f aca="false">F16*G16</f>
        <v>20</v>
      </c>
      <c r="I16" s="4" t="str">
        <f aca="false">IF(H16&gt;=20,"Critical",IF(H16&gt;=15,"High",IF(H16&gt;=9,"Medium","Low")))</f>
        <v>Critical</v>
      </c>
      <c r="J16" s="3" t="s">
        <v>78</v>
      </c>
      <c r="K16" s="3" t="s">
        <v>79</v>
      </c>
      <c r="L16" s="3" t="s">
        <v>19</v>
      </c>
    </row>
    <row r="17" customFormat="false" ht="45.75" hidden="false" customHeight="true" outlineLevel="0" collapsed="false">
      <c r="A17" s="3" t="s">
        <v>80</v>
      </c>
      <c r="B17" s="3" t="s">
        <v>81</v>
      </c>
      <c r="C17" s="3" t="s">
        <v>76</v>
      </c>
      <c r="D17" s="3" t="s">
        <v>82</v>
      </c>
      <c r="E17" s="3" t="s">
        <v>16</v>
      </c>
      <c r="F17" s="4" t="n">
        <v>3</v>
      </c>
      <c r="G17" s="4" t="n">
        <v>4</v>
      </c>
      <c r="H17" s="4" t="n">
        <f aca="false">F17*G17</f>
        <v>12</v>
      </c>
      <c r="I17" s="4" t="str">
        <f aca="false">IF(H17&gt;=20,"Critical",IF(H17&gt;=15,"High",IF(H17&gt;=9,"Medium","Low")))</f>
        <v>Medium</v>
      </c>
      <c r="J17" s="3" t="s">
        <v>83</v>
      </c>
      <c r="K17" s="3" t="s">
        <v>84</v>
      </c>
      <c r="L17" s="3" t="s">
        <v>19</v>
      </c>
    </row>
  </sheetData>
  <autoFilter ref="A1:L17"/>
  <conditionalFormatting sqref="I2:I17">
    <cfRule type="expression" priority="2" aboveAverage="0" equalAverage="0" bottom="0" percent="0" rank="0" text="" dxfId="9">
      <formula>$I2="Critical"</formula>
    </cfRule>
    <cfRule type="expression" priority="3" aboveAverage="0" equalAverage="0" bottom="0" percent="0" rank="0" text="" dxfId="10">
      <formula>$I2="High"</formula>
    </cfRule>
    <cfRule type="expression" priority="4" aboveAverage="0" equalAverage="0" bottom="0" percent="0" rank="0" text="" dxfId="11">
      <formula>$I2="Medium"</formula>
    </cfRule>
    <cfRule type="expression" priority="5" aboveAverage="0" equalAverage="0" bottom="0" percent="0" rank="0" text="" dxfId="12">
      <formula>$I2="Low"</formula>
    </cfRule>
  </conditionalFormatting>
  <conditionalFormatting sqref="A2:L17">
    <cfRule type="expression" priority="6" aboveAverage="0" equalAverage="0" bottom="0" percent="0" rank="0" text="" dxfId="13">
      <formula>$I2="Critical"</formula>
    </cfRule>
    <cfRule type="expression" priority="7" aboveAverage="0" equalAverage="0" bottom="0" percent="0" rank="0" text="" dxfId="14">
      <formula>$I2="High"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</cols>
  <sheetData>
    <row r="1" customFormat="false" ht="16.15" hidden="false" customHeight="false" outlineLevel="0" collapsed="false">
      <c r="A1" s="5" t="s">
        <v>85</v>
      </c>
    </row>
    <row r="3" customFormat="false" ht="15" hidden="false" customHeight="false" outlineLevel="0" collapsed="false">
      <c r="A3" s="6" t="s">
        <v>8</v>
      </c>
      <c r="B3" s="6" t="s">
        <v>86</v>
      </c>
    </row>
    <row r="4" customFormat="false" ht="15" hidden="false" customHeight="false" outlineLevel="0" collapsed="false">
      <c r="A4" s="7" t="s">
        <v>87</v>
      </c>
      <c r="B4" s="7" t="n">
        <f aca="false">COUNTIF('Risk Register'!I2:I17,"Critical")</f>
        <v>4</v>
      </c>
    </row>
    <row r="5" customFormat="false" ht="15" hidden="false" customHeight="false" outlineLevel="0" collapsed="false">
      <c r="A5" s="7" t="s">
        <v>88</v>
      </c>
      <c r="B5" s="7" t="n">
        <f aca="false">COUNTIF('Risk Register'!I2:I17,"High")</f>
        <v>4</v>
      </c>
    </row>
    <row r="6" customFormat="false" ht="15" hidden="false" customHeight="false" outlineLevel="0" collapsed="false">
      <c r="A6" s="7" t="s">
        <v>89</v>
      </c>
      <c r="B6" s="7" t="n">
        <f aca="false">COUNTIF('Risk Register'!I2:I17,"Medium")</f>
        <v>4</v>
      </c>
    </row>
    <row r="7" customFormat="false" ht="15" hidden="false" customHeight="false" outlineLevel="0" collapsed="false">
      <c r="A7" s="7" t="s">
        <v>90</v>
      </c>
      <c r="B7" s="7" t="n">
        <f aca="false">COUNTIF('Risk Register'!I2:I17,"Low")</f>
        <v>4</v>
      </c>
    </row>
    <row r="8" customFormat="false" ht="15" hidden="false" customHeight="false" outlineLevel="0" collapsed="false">
      <c r="A8" s="6" t="s">
        <v>91</v>
      </c>
      <c r="B8" s="6" t="n">
        <f aca="false">SUM(B4:B7)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2026-07-05T18:37:15Z</dcterms:created>
  <dc:creator>openpyxl</dc:creator>
  <dc:description/>
  <dc:language>en-US</dc:language>
  <cp:lastModifiedBy/>
  <dcterms:modified xsi:type="dcterms:W3CDTF">2026-07-05T18:37:15Z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